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angyu\Documents\SUSTech\材料力学\"/>
    </mc:Choice>
  </mc:AlternateContent>
  <bookViews>
    <workbookView xWindow="0" yWindow="0" windowWidth="17790" windowHeight="7110" firstSheet="2" activeTab="7"/>
  </bookViews>
  <sheets>
    <sheet name="Sheet7" sheetId="8" r:id="rId1"/>
    <sheet name="Sheet1" sheetId="1" r:id="rId2"/>
    <sheet name="Sheet2" sheetId="2" r:id="rId3"/>
    <sheet name="Sheet3" sheetId="3" r:id="rId4"/>
    <sheet name="Sheet4" sheetId="4" r:id="rId5"/>
    <sheet name="Fatigue" sheetId="5" r:id="rId6"/>
    <sheet name="Sheet5" sheetId="6" r:id="rId7"/>
    <sheet name="Sheet6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7" l="1"/>
  <c r="B15" i="7"/>
  <c r="D12" i="7"/>
  <c r="B12" i="7"/>
  <c r="D9" i="7"/>
  <c r="B9" i="7"/>
  <c r="B7" i="7"/>
  <c r="D15" i="6"/>
  <c r="B15" i="6"/>
  <c r="B13" i="6"/>
  <c r="B11" i="6"/>
  <c r="G4" i="5"/>
  <c r="D4" i="5"/>
  <c r="B6" i="5"/>
  <c r="D15" i="4"/>
  <c r="B15" i="4"/>
  <c r="B13" i="4"/>
  <c r="D3" i="4"/>
  <c r="F3" i="4"/>
  <c r="B9" i="4"/>
  <c r="B7" i="4"/>
  <c r="B5" i="4"/>
  <c r="B3" i="4"/>
  <c r="B11" i="2" l="1"/>
  <c r="B9" i="2"/>
  <c r="B5" i="2"/>
  <c r="B16" i="1"/>
  <c r="B14" i="1"/>
  <c r="B12" i="1"/>
  <c r="E10" i="1"/>
  <c r="B10" i="1"/>
  <c r="B8" i="1"/>
  <c r="E6" i="1"/>
  <c r="B6" i="1"/>
  <c r="B4" i="1"/>
  <c r="B1" i="1"/>
  <c r="B8" i="8"/>
  <c r="C5" i="8"/>
  <c r="B5" i="8"/>
  <c r="C4" i="8"/>
  <c r="C2" i="8"/>
  <c r="B4" i="8"/>
  <c r="B11" i="5" l="1"/>
  <c r="B9" i="5"/>
  <c r="B4" i="5"/>
  <c r="D13" i="4" l="1"/>
  <c r="D11" i="4"/>
  <c r="B11" i="4"/>
  <c r="D5" i="4"/>
  <c r="D7" i="4" s="1"/>
  <c r="D9" i="4" s="1"/>
  <c r="B13" i="2"/>
  <c r="G14" i="1"/>
  <c r="D4" i="3"/>
  <c r="H4" i="2"/>
  <c r="H7" i="8" l="1"/>
  <c r="B4" i="3" l="1"/>
  <c r="B2" i="8"/>
  <c r="B13" i="5" l="1"/>
  <c r="E14" i="1" l="1"/>
  <c r="B18" i="1" s="1"/>
  <c r="E18" i="1" s="1"/>
</calcChain>
</file>

<file path=xl/sharedStrings.xml><?xml version="1.0" encoding="utf-8"?>
<sst xmlns="http://schemas.openxmlformats.org/spreadsheetml/2006/main" count="66" uniqueCount="34">
  <si>
    <t>S</t>
  </si>
  <si>
    <t>Kc</t>
  </si>
  <si>
    <t>a</t>
  </si>
  <si>
    <t>alpha</t>
  </si>
  <si>
    <t>new a</t>
  </si>
  <si>
    <t>new alpha</t>
  </si>
  <si>
    <t>F</t>
  </si>
  <si>
    <t>New F</t>
  </si>
  <si>
    <t xml:space="preserve"> </t>
  </si>
  <si>
    <t>New  F</t>
  </si>
  <si>
    <t>New a</t>
  </si>
  <si>
    <t>New alpha</t>
  </si>
  <si>
    <t>M</t>
  </si>
  <si>
    <t>b</t>
  </si>
  <si>
    <t>t</t>
  </si>
  <si>
    <t>Kc/n</t>
  </si>
  <si>
    <t>a/b</t>
  </si>
  <si>
    <t>ultimate</t>
  </si>
  <si>
    <t>ai</t>
  </si>
  <si>
    <t>P</t>
  </si>
  <si>
    <t>A</t>
  </si>
  <si>
    <t>K</t>
  </si>
  <si>
    <t>K/sigma0</t>
  </si>
  <si>
    <t>4/pi</t>
  </si>
  <si>
    <t>2roepsilon</t>
  </si>
  <si>
    <t>B</t>
  </si>
  <si>
    <t>Nf</t>
  </si>
  <si>
    <t>sigma_a</t>
  </si>
  <si>
    <t>X</t>
  </si>
  <si>
    <t>sigma_m</t>
  </si>
  <si>
    <t>sigma_f</t>
  </si>
  <si>
    <t>sigma_ar</t>
  </si>
  <si>
    <t>Sg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</si>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</sst>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E9" sqref="E9"/>
    </sheetView>
  </sheetViews>
  <sheetFormatPr defaultRowHeight="15" x14ac:dyDescent="0.25"/>
  <cols>
    <col min="2" max="2" width="17.85546875" bestFit="1" customWidth="1"/>
    <col min="3" max="3" width="15.7109375" bestFit="1" customWidth="1"/>
  </cols>
  <sheetData>
    <row r="1" spans="1:8" ht="26.25" x14ac:dyDescent="0.4">
      <c r="A1" s="1" t="s">
        <v>2</v>
      </c>
      <c r="B1" s="1">
        <v>10</v>
      </c>
      <c r="C1" s="1">
        <v>24</v>
      </c>
    </row>
    <row r="2" spans="1:8" ht="26.25" x14ac:dyDescent="0.4">
      <c r="A2" s="1" t="s">
        <v>3</v>
      </c>
      <c r="B2" s="1">
        <f>B1/40</f>
        <v>0.25</v>
      </c>
      <c r="C2" s="1">
        <f>C1/40</f>
        <v>0.6</v>
      </c>
    </row>
    <row r="3" spans="1:8" ht="26.25" x14ac:dyDescent="0.4">
      <c r="A3" s="1" t="s">
        <v>6</v>
      </c>
      <c r="B3" s="1">
        <v>1</v>
      </c>
      <c r="C3" s="1">
        <v>1.4</v>
      </c>
    </row>
    <row r="4" spans="1:8" ht="26.25" x14ac:dyDescent="0.4">
      <c r="A4" s="1" t="s">
        <v>32</v>
      </c>
      <c r="B4" s="1">
        <f>66/B3/(3.14*B1/1000)^0.5</f>
        <v>372.4595476688462</v>
      </c>
      <c r="C4" s="1">
        <f>66/C3/(3.14*C1/1000)^0.5</f>
        <v>171.72971729254633</v>
      </c>
    </row>
    <row r="5" spans="1:8" ht="26.25" x14ac:dyDescent="0.4">
      <c r="A5" s="1" t="s">
        <v>19</v>
      </c>
      <c r="B5" s="1">
        <f>B4/3*2*40*15</f>
        <v>148983.81906753848</v>
      </c>
      <c r="C5" s="1">
        <f>C4/3*2*40*15</f>
        <v>68691.886917018535</v>
      </c>
    </row>
    <row r="6" spans="1:8" ht="26.25" x14ac:dyDescent="0.4">
      <c r="A6" s="1"/>
      <c r="B6" s="1"/>
      <c r="C6" s="1"/>
    </row>
    <row r="7" spans="1:8" ht="26.25" x14ac:dyDescent="0.4">
      <c r="A7" s="1"/>
      <c r="B7" s="1"/>
      <c r="C7" s="1"/>
      <c r="H7">
        <f>3*3.14^2/16</f>
        <v>1.8486750000000001</v>
      </c>
    </row>
    <row r="8" spans="1:8" ht="26.25" x14ac:dyDescent="0.4">
      <c r="A8" s="1" t="s">
        <v>33</v>
      </c>
      <c r="B8" s="1">
        <f>(66/540)^2/3.14*1000</f>
        <v>4.7574113391523154</v>
      </c>
      <c r="C8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zoomScale="200" zoomScaleNormal="200" workbookViewId="0">
      <selection activeCell="B18" sqref="B18"/>
    </sheetView>
  </sheetViews>
  <sheetFormatPr defaultRowHeight="15" x14ac:dyDescent="0.25"/>
  <cols>
    <col min="2" max="2" width="10" bestFit="1" customWidth="1"/>
  </cols>
  <sheetData>
    <row r="1" spans="1:7" x14ac:dyDescent="0.25">
      <c r="A1" t="s">
        <v>0</v>
      </c>
      <c r="B1">
        <f>50*10^3/(2*0.05*0.005)/10^6</f>
        <v>100</v>
      </c>
    </row>
    <row r="2" spans="1:7" x14ac:dyDescent="0.25">
      <c r="A2" t="s">
        <v>1</v>
      </c>
      <c r="B2">
        <v>24</v>
      </c>
    </row>
    <row r="4" spans="1:7" x14ac:dyDescent="0.25">
      <c r="A4" t="s">
        <v>2</v>
      </c>
      <c r="B4">
        <f>(B2/B1)^2/3.14*1000</f>
        <v>18.343949044585987</v>
      </c>
    </row>
    <row r="6" spans="1:7" x14ac:dyDescent="0.25">
      <c r="A6" t="s">
        <v>3</v>
      </c>
      <c r="B6">
        <f>B4/50</f>
        <v>0.36687898089171972</v>
      </c>
      <c r="D6" t="s">
        <v>6</v>
      </c>
      <c r="E6">
        <f>(1-0.5*B6+0.326*B6^2)/(1-B6)^0.5</f>
        <v>1.0813774565507015</v>
      </c>
    </row>
    <row r="8" spans="1:7" x14ac:dyDescent="0.25">
      <c r="A8" t="s">
        <v>4</v>
      </c>
      <c r="B8">
        <f>(B2/B1/E6)^2/3.14*1000</f>
        <v>15.68693915796884</v>
      </c>
      <c r="D8" t="s">
        <v>8</v>
      </c>
    </row>
    <row r="10" spans="1:7" x14ac:dyDescent="0.25">
      <c r="A10" t="s">
        <v>5</v>
      </c>
      <c r="B10">
        <f>B8/50</f>
        <v>0.31373878315937681</v>
      </c>
      <c r="D10" t="s">
        <v>9</v>
      </c>
      <c r="E10">
        <f>(1-0.5*B10+0.326*B10^2)/(1-B10)^0.5</f>
        <v>1.056506641662361</v>
      </c>
    </row>
    <row r="12" spans="1:7" x14ac:dyDescent="0.25">
      <c r="A12" t="s">
        <v>10</v>
      </c>
      <c r="B12">
        <f>(B2/B1/E10)^2/3.14*1000</f>
        <v>16.434192594648252</v>
      </c>
    </row>
    <row r="14" spans="1:7" x14ac:dyDescent="0.25">
      <c r="A14" t="s">
        <v>11</v>
      </c>
      <c r="B14">
        <f>B12/50</f>
        <v>0.32868385189296506</v>
      </c>
      <c r="D14" t="s">
        <v>7</v>
      </c>
      <c r="E14">
        <f>(1-0.5*B14+0.326*B14^2)/(1-B14)^0.5</f>
        <v>1.0629019462372906</v>
      </c>
      <c r="G14">
        <f>(E10-E14)/E14</f>
        <v>-6.0168340057794112E-3</v>
      </c>
    </row>
    <row r="16" spans="1:7" x14ac:dyDescent="0.25">
      <c r="A16" t="s">
        <v>4</v>
      </c>
      <c r="B16">
        <f>(B2/B1/E14)^2/3.14*1000</f>
        <v>16.23702393235634</v>
      </c>
    </row>
    <row r="18" spans="1:5" x14ac:dyDescent="0.25">
      <c r="A18" t="s">
        <v>11</v>
      </c>
      <c r="B18">
        <f>B16/50</f>
        <v>0.3247404786471268</v>
      </c>
      <c r="D18" t="s">
        <v>7</v>
      </c>
      <c r="E18">
        <f>(1-0.5*B18+0.326*B18^2)/(1-B18)^0.5</f>
        <v>1.0611710171177744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145" zoomScaleNormal="145" workbookViewId="0">
      <selection activeCell="B13" sqref="B13"/>
    </sheetView>
  </sheetViews>
  <sheetFormatPr defaultRowHeight="15" x14ac:dyDescent="0.25"/>
  <sheetData>
    <row r="1" spans="1:8" x14ac:dyDescent="0.25">
      <c r="A1" t="s">
        <v>12</v>
      </c>
      <c r="B1">
        <v>10</v>
      </c>
    </row>
    <row r="2" spans="1:8" x14ac:dyDescent="0.25">
      <c r="A2" t="s">
        <v>13</v>
      </c>
      <c r="B2">
        <v>0.02</v>
      </c>
    </row>
    <row r="3" spans="1:8" x14ac:dyDescent="0.25">
      <c r="A3" t="s">
        <v>14</v>
      </c>
      <c r="B3">
        <v>0.01</v>
      </c>
    </row>
    <row r="4" spans="1:8" x14ac:dyDescent="0.25">
      <c r="H4">
        <f>(0.7/7)^2/3.14</f>
        <v>3.1847133757961776E-3</v>
      </c>
    </row>
    <row r="5" spans="1:8" x14ac:dyDescent="0.25">
      <c r="A5" t="s">
        <v>0</v>
      </c>
      <c r="B5">
        <f>6*B1/(B2^2*B3)/10^6</f>
        <v>14.999999999999998</v>
      </c>
    </row>
    <row r="7" spans="1:8" x14ac:dyDescent="0.25">
      <c r="A7" t="s">
        <v>1</v>
      </c>
      <c r="B7">
        <v>3</v>
      </c>
    </row>
    <row r="9" spans="1:8" x14ac:dyDescent="0.25">
      <c r="A9" t="s">
        <v>15</v>
      </c>
      <c r="B9">
        <f>B7/2.5</f>
        <v>1.2</v>
      </c>
    </row>
    <row r="11" spans="1:8" x14ac:dyDescent="0.25">
      <c r="A11" t="s">
        <v>2</v>
      </c>
      <c r="B11">
        <f>(B9/B5)^2/3.14</f>
        <v>2.0382165605095539E-3</v>
      </c>
    </row>
    <row r="13" spans="1:8" x14ac:dyDescent="0.25">
      <c r="A13" t="s">
        <v>16</v>
      </c>
      <c r="B13">
        <f>B11/B2</f>
        <v>0.1019108280254777</v>
      </c>
    </row>
    <row r="15" spans="1:8" x14ac:dyDescent="0.25">
      <c r="A15" t="s">
        <v>6</v>
      </c>
      <c r="B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zoomScale="160" zoomScaleNormal="160" workbookViewId="0">
      <selection activeCell="D5" sqref="D5"/>
    </sheetView>
  </sheetViews>
  <sheetFormatPr defaultRowHeight="15" x14ac:dyDescent="0.25"/>
  <sheetData>
    <row r="1" spans="1:4" x14ac:dyDescent="0.25">
      <c r="A1" t="s">
        <v>1</v>
      </c>
      <c r="B1">
        <v>66</v>
      </c>
      <c r="D1">
        <v>65</v>
      </c>
    </row>
    <row r="2" spans="1:4" x14ac:dyDescent="0.25">
      <c r="A2" t="s">
        <v>17</v>
      </c>
      <c r="B2">
        <v>840</v>
      </c>
      <c r="D2">
        <v>2010</v>
      </c>
    </row>
    <row r="4" spans="1:4" x14ac:dyDescent="0.25">
      <c r="A4" t="s">
        <v>18</v>
      </c>
      <c r="B4">
        <f>(B1/B2)^2/3.14*1000</f>
        <v>1.9660730534251913</v>
      </c>
      <c r="D4">
        <f>(D1/D2)^2/3.14*1000</f>
        <v>0.33304655856881887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opLeftCell="A10" workbookViewId="0">
      <selection activeCell="D16" sqref="D16"/>
    </sheetView>
  </sheetViews>
  <sheetFormatPr defaultRowHeight="26.25" x14ac:dyDescent="0.4"/>
  <cols>
    <col min="1" max="1" width="9.28515625" bestFit="1" customWidth="1"/>
    <col min="2" max="2" width="13.7109375" bestFit="1" customWidth="1"/>
    <col min="4" max="4" width="13.7109375" style="1" bestFit="1" customWidth="1"/>
  </cols>
  <sheetData>
    <row r="1" spans="1:6" x14ac:dyDescent="0.4">
      <c r="A1" s="1" t="s">
        <v>19</v>
      </c>
      <c r="B1" s="1">
        <v>50000</v>
      </c>
      <c r="D1" s="1">
        <v>50000</v>
      </c>
    </row>
    <row r="2" spans="1:6" x14ac:dyDescent="0.4">
      <c r="A2" s="1"/>
      <c r="B2" s="1"/>
    </row>
    <row r="3" spans="1:6" x14ac:dyDescent="0.4">
      <c r="A3" s="1" t="s">
        <v>20</v>
      </c>
      <c r="B3" s="1">
        <f>2*0.05*0.005</f>
        <v>5.0000000000000001E-4</v>
      </c>
      <c r="D3" s="1">
        <f>B3/1.2</f>
        <v>4.1666666666666669E-4</v>
      </c>
      <c r="F3">
        <f>5/1.2</f>
        <v>4.166666666666667</v>
      </c>
    </row>
    <row r="4" spans="1:6" x14ac:dyDescent="0.4">
      <c r="A4" s="1"/>
      <c r="B4" s="1"/>
    </row>
    <row r="5" spans="1:6" x14ac:dyDescent="0.4">
      <c r="A5" s="1" t="s">
        <v>0</v>
      </c>
      <c r="B5" s="1">
        <f>B1/B3/10^6</f>
        <v>100</v>
      </c>
      <c r="D5" s="1">
        <f>D1/D3/10^6</f>
        <v>119.99999999999999</v>
      </c>
    </row>
    <row r="6" spans="1:6" x14ac:dyDescent="0.4">
      <c r="A6" s="1"/>
      <c r="B6" s="1"/>
    </row>
    <row r="7" spans="1:6" x14ac:dyDescent="0.4">
      <c r="A7" s="1" t="s">
        <v>21</v>
      </c>
      <c r="B7" s="1">
        <f>B5*(3.14*0.01)^0.5</f>
        <v>17.720045146669353</v>
      </c>
      <c r="D7" s="1">
        <f>D5*(3.14*0.01)^0.5</f>
        <v>21.264054176003221</v>
      </c>
    </row>
    <row r="8" spans="1:6" x14ac:dyDescent="0.4">
      <c r="A8" s="1"/>
      <c r="B8" s="1"/>
    </row>
    <row r="9" spans="1:6" x14ac:dyDescent="0.4">
      <c r="A9" s="1" t="s">
        <v>22</v>
      </c>
      <c r="B9" s="1">
        <f>(B7/415)^2</f>
        <v>1.8231964000580644E-3</v>
      </c>
      <c r="D9" s="1">
        <f>(D7/415)^2</f>
        <v>2.6254028160836119E-3</v>
      </c>
    </row>
    <row r="10" spans="1:6" x14ac:dyDescent="0.4">
      <c r="A10" s="1"/>
      <c r="B10" s="1"/>
    </row>
    <row r="11" spans="1:6" x14ac:dyDescent="0.4">
      <c r="A11" s="1" t="s">
        <v>23</v>
      </c>
      <c r="B11" s="1">
        <f>4/3.14*B9*1000</f>
        <v>2.3225431847873432</v>
      </c>
      <c r="D11" s="1">
        <f>4/3.14*D9*1000</f>
        <v>3.3444621860937729</v>
      </c>
    </row>
    <row r="12" spans="1:6" x14ac:dyDescent="0.4">
      <c r="A12" s="1"/>
      <c r="B12" s="1"/>
    </row>
    <row r="13" spans="1:6" x14ac:dyDescent="0.4">
      <c r="A13" s="1">
        <v>2.5</v>
      </c>
      <c r="B13" s="1">
        <f>2.5*B9*1000</f>
        <v>4.5579910001451607</v>
      </c>
      <c r="D13" s="1">
        <f>2.5*D9*1000</f>
        <v>6.5635070402090303</v>
      </c>
    </row>
    <row r="14" spans="1:6" x14ac:dyDescent="0.4">
      <c r="A14" s="1"/>
      <c r="B14" s="1"/>
    </row>
    <row r="15" spans="1:6" x14ac:dyDescent="0.4">
      <c r="A15" s="1" t="s">
        <v>24</v>
      </c>
      <c r="B15" s="1">
        <f>B9/(3*3.14)*1000</f>
        <v>0.19354526539894526</v>
      </c>
      <c r="D15" s="1">
        <f>D9/(3.14)*1000</f>
        <v>0.83611554652344322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7" workbookViewId="0">
      <selection activeCell="G5" sqref="G5"/>
    </sheetView>
  </sheetViews>
  <sheetFormatPr defaultRowHeight="23.25" x14ac:dyDescent="0.35"/>
  <cols>
    <col min="1" max="1" width="9.140625" style="2"/>
    <col min="2" max="2" width="11.5703125" style="2" bestFit="1" customWidth="1"/>
    <col min="3" max="3" width="9.140625" style="2"/>
    <col min="4" max="4" width="16.85546875" style="2" bestFit="1" customWidth="1"/>
    <col min="5" max="16384" width="9.140625" style="2"/>
  </cols>
  <sheetData>
    <row r="1" spans="1:7" x14ac:dyDescent="0.35">
      <c r="A1" s="2" t="s">
        <v>20</v>
      </c>
      <c r="B1" s="2">
        <v>1643</v>
      </c>
    </row>
    <row r="2" spans="1:7" x14ac:dyDescent="0.35">
      <c r="A2" s="2" t="s">
        <v>25</v>
      </c>
      <c r="B2" s="2">
        <v>-9.7699999999999995E-2</v>
      </c>
    </row>
    <row r="4" spans="1:7" x14ac:dyDescent="0.35">
      <c r="A4" s="2" t="s">
        <v>26</v>
      </c>
      <c r="B4" s="2">
        <f>1.94*10^5</f>
        <v>194000</v>
      </c>
      <c r="D4" s="2">
        <f>(D6/1643)^(-1/0.0977)</f>
        <v>161.01752539357926</v>
      </c>
      <c r="G4" s="2">
        <f>B4/D4</f>
        <v>1204.837793437707</v>
      </c>
    </row>
    <row r="6" spans="1:7" x14ac:dyDescent="0.35">
      <c r="A6" s="2" t="s">
        <v>27</v>
      </c>
      <c r="B6" s="2">
        <f>B1*B4^B2</f>
        <v>500.05679658462498</v>
      </c>
      <c r="D6" s="2">
        <v>1000.06</v>
      </c>
    </row>
    <row r="9" spans="1:7" x14ac:dyDescent="0.35">
      <c r="A9" s="2" t="s">
        <v>26</v>
      </c>
      <c r="B9" s="2">
        <f>B4/3</f>
        <v>64666.666666666664</v>
      </c>
    </row>
    <row r="11" spans="1:7" x14ac:dyDescent="0.35">
      <c r="A11" s="2" t="s">
        <v>27</v>
      </c>
      <c r="B11" s="2">
        <f>B1*B9^B2</f>
        <v>556.71648443926586</v>
      </c>
    </row>
    <row r="13" spans="1:7" x14ac:dyDescent="0.35">
      <c r="A13" s="2" t="s">
        <v>28</v>
      </c>
      <c r="B13" s="2">
        <f>B11/B6</f>
        <v>1.1133065048642976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6" sqref="D16"/>
    </sheetView>
  </sheetViews>
  <sheetFormatPr defaultRowHeight="15" x14ac:dyDescent="0.25"/>
  <sheetData>
    <row r="1" spans="1:4" x14ac:dyDescent="0.25">
      <c r="A1" t="s">
        <v>20</v>
      </c>
      <c r="B1">
        <v>1643</v>
      </c>
    </row>
    <row r="2" spans="1:4" x14ac:dyDescent="0.25">
      <c r="A2" t="s">
        <v>25</v>
      </c>
      <c r="B2">
        <v>-9.7699999999999995E-2</v>
      </c>
    </row>
    <row r="4" spans="1:4" x14ac:dyDescent="0.25">
      <c r="A4" t="s">
        <v>8</v>
      </c>
      <c r="B4" t="s">
        <v>8</v>
      </c>
    </row>
    <row r="6" spans="1:4" x14ac:dyDescent="0.25">
      <c r="A6" t="s">
        <v>27</v>
      </c>
      <c r="B6">
        <v>450</v>
      </c>
    </row>
    <row r="7" spans="1:4" x14ac:dyDescent="0.25">
      <c r="A7" t="s">
        <v>29</v>
      </c>
      <c r="B7">
        <v>200</v>
      </c>
    </row>
    <row r="9" spans="1:4" x14ac:dyDescent="0.25">
      <c r="A9" t="s">
        <v>30</v>
      </c>
      <c r="B9">
        <v>1758</v>
      </c>
    </row>
    <row r="11" spans="1:4" x14ac:dyDescent="0.25">
      <c r="A11" t="s">
        <v>31</v>
      </c>
      <c r="B11">
        <f>B6/(1-B7/B9)</f>
        <v>507.76636713735553</v>
      </c>
    </row>
    <row r="13" spans="1:4" x14ac:dyDescent="0.25">
      <c r="A13" t="s">
        <v>26</v>
      </c>
      <c r="B13">
        <f>(B11/B1)^(1/B2)</f>
        <v>165879.04551440573</v>
      </c>
    </row>
    <row r="15" spans="1:4" x14ac:dyDescent="0.25">
      <c r="A15" t="s">
        <v>26</v>
      </c>
      <c r="B15">
        <f>(450/B1)^(1/B2)</f>
        <v>571022.90318723628</v>
      </c>
      <c r="D15">
        <f>B15/B13</f>
        <v>3.4424052864329142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B18" sqref="B18"/>
    </sheetView>
  </sheetViews>
  <sheetFormatPr defaultRowHeight="15" x14ac:dyDescent="0.25"/>
  <sheetData>
    <row r="1" spans="1:4" x14ac:dyDescent="0.25">
      <c r="A1" t="s">
        <v>27</v>
      </c>
      <c r="B1">
        <v>180</v>
      </c>
    </row>
    <row r="2" spans="1:4" x14ac:dyDescent="0.25">
      <c r="A2" t="s">
        <v>29</v>
      </c>
      <c r="B2">
        <v>100</v>
      </c>
    </row>
    <row r="4" spans="1:4" x14ac:dyDescent="0.25">
      <c r="A4" t="s">
        <v>30</v>
      </c>
      <c r="B4">
        <v>1089</v>
      </c>
    </row>
    <row r="5" spans="1:4" x14ac:dyDescent="0.25">
      <c r="A5" t="s">
        <v>13</v>
      </c>
      <c r="B5">
        <v>-0.115</v>
      </c>
    </row>
    <row r="7" spans="1:4" x14ac:dyDescent="0.25">
      <c r="A7" t="s">
        <v>31</v>
      </c>
      <c r="B7">
        <f>B1/(1-B2/B4)</f>
        <v>198.20020222446917</v>
      </c>
    </row>
    <row r="9" spans="1:4" x14ac:dyDescent="0.25">
      <c r="A9" t="s">
        <v>26</v>
      </c>
      <c r="B9">
        <f>(B7/B4)^(1/B5)/2</f>
        <v>1358594.6088269819</v>
      </c>
      <c r="D9">
        <f>B9/20000</f>
        <v>67.929730441349093</v>
      </c>
    </row>
    <row r="12" spans="1:4" x14ac:dyDescent="0.25">
      <c r="A12" t="s">
        <v>27</v>
      </c>
      <c r="B12">
        <f>B4*(2*20000)^B5</f>
        <v>321.95189134677906</v>
      </c>
      <c r="D12">
        <f>B12/B7</f>
        <v>1.6243772091723523</v>
      </c>
    </row>
    <row r="15" spans="1:4" x14ac:dyDescent="0.25">
      <c r="A15" t="s">
        <v>27</v>
      </c>
      <c r="B15">
        <f>B7*2</f>
        <v>396.40040444893833</v>
      </c>
    </row>
    <row r="17" spans="1:2" x14ac:dyDescent="0.25">
      <c r="A17" t="s">
        <v>26</v>
      </c>
      <c r="B17">
        <f>(B15/B4)^(1/B5)/2</f>
        <v>3276.7080695706218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Sheet7</vt:lpstr>
      <vt:lpstr>Sheet1</vt:lpstr>
      <vt:lpstr>Sheet2</vt:lpstr>
      <vt:lpstr>Sheet3</vt:lpstr>
      <vt:lpstr>Sheet4</vt:lpstr>
      <vt:lpstr>Fatigue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2017-11-22T17:02:24Z</dcterms:created>
  <dcterms:modified xsi:type="dcterms:W3CDTF">2021-05-25T01:30:17Z</dcterms:modified>
</cp:coreProperties>
</file>